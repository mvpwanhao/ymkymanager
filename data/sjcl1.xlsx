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D:\Users\ymky_manager\data\"/>
    </mc:Choice>
  </mc:AlternateContent>
  <xr:revisionPtr revIDLastSave="0" documentId="13_ncr:1_{C4466829-CD1B-4619-ACC9-602DE703D67B}" xr6:coauthVersionLast="47" xr6:coauthVersionMax="47" xr10:uidLastSave="{00000000-0000-0000-0000-000000000000}"/>
  <bookViews>
    <workbookView xWindow="1080" yWindow="3720" windowWidth="13740" windowHeight="1543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D5" i="1"/>
  <c r="D9" i="1"/>
  <c r="B11" i="1"/>
  <c r="D11" i="1" s="1"/>
  <c r="C11" i="1"/>
  <c r="F11" i="1"/>
</calcChain>
</file>

<file path=xl/sharedStrings.xml><?xml version="1.0" encoding="utf-8"?>
<sst xmlns="http://schemas.openxmlformats.org/spreadsheetml/2006/main" count="16" uniqueCount="16">
  <si>
    <t>云煤集团产量、进尺统计报表</t>
  </si>
  <si>
    <t xml:space="preserve">             指标                             
单位</t>
  </si>
  <si>
    <t>原煤产量完成情况</t>
  </si>
  <si>
    <t>5月份产量日计划/吨</t>
  </si>
  <si>
    <t>日完成/吨</t>
  </si>
  <si>
    <t>完成率/%</t>
  </si>
  <si>
    <t>完成率低于90%影响原因说明</t>
  </si>
  <si>
    <t>年累计完成/吨</t>
  </si>
  <si>
    <t>姚家村煤矿(露天)</t>
  </si>
  <si>
    <t>金所煤矿(露天)</t>
  </si>
  <si>
    <t>郭家山煤矿（露天）</t>
  </si>
  <si>
    <t>羊街煤矿(露天)</t>
  </si>
  <si>
    <t>芒东二矿(露天)</t>
  </si>
  <si>
    <t>胜利煤矿(井工)</t>
  </si>
  <si>
    <t>竜浪煤矿(井工)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</si>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</sst>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2" x14ac:knownFonts="1">
    <font>
      <sz val="12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76" fontId="0" fillId="2" borderId="5" xfId="0" applyNumberForma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76" fontId="0" fillId="2" borderId="5" xfId="0" applyNumberForma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76" fontId="0" fillId="0" borderId="7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常规" xfId="0" builtinId="0"/>
  </cellStyles>
  <dxfs count="26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3" defaultTableStyle="TableStylePreset8_Accent1" defaultPivotStyle="PivotStylePreset2_Accent1">
    <tableStyle name="TableStylePreset8_Accent1 1" pivot="0" count="7" xr9:uid="{00000000-0011-0000-FFFF-FFFF00000000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TableStylePreset8_Accent1" pivot="0" count="9" xr9:uid="{00000000-0011-0000-FFFF-FFFF01000000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  <tableStyle name="PivotStylePreset2_Accent1" table="0" count="10" xr9:uid="{00000000-0011-0000-FFFF-FFFF02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SheetLayoutView="100" workbookViewId="0">
      <selection activeCell="B5" sqref="B5"/>
    </sheetView>
  </sheetViews>
  <sheetFormatPr defaultRowHeight="14.25" x14ac:dyDescent="0.15"/>
  <cols>
    <col min="1" max="1" width="20.125" style="1" customWidth="1"/>
    <col min="2" max="2" width="10.625" style="1" customWidth="1"/>
    <col min="3" max="3" width="11" style="1" customWidth="1"/>
    <col min="4" max="4" width="11.25" style="1" customWidth="1"/>
    <col min="5" max="5" width="27.75" style="1" customWidth="1"/>
    <col min="6" max="6" width="20.75" style="1" customWidth="1"/>
    <col min="7" max="16384" width="9" style="1"/>
  </cols>
  <sheetData>
    <row r="1" spans="1:6" ht="42.95" customHeight="1" x14ac:dyDescent="0.15">
      <c r="A1" s="10" t="s">
        <v>0</v>
      </c>
      <c r="B1" s="10"/>
      <c r="C1" s="10"/>
      <c r="D1" s="10"/>
      <c r="E1" s="10"/>
      <c r="F1" s="10"/>
    </row>
    <row r="2" spans="1:6" ht="21" customHeight="1" x14ac:dyDescent="0.15">
      <c r="A2" s="13" t="s">
        <v>1</v>
      </c>
      <c r="B2" s="11" t="s">
        <v>2</v>
      </c>
      <c r="C2" s="11"/>
      <c r="D2" s="11"/>
      <c r="E2" s="11"/>
      <c r="F2" s="12"/>
    </row>
    <row r="3" spans="1:6" ht="60" customHeight="1" x14ac:dyDescent="0.15">
      <c r="A3" s="14"/>
      <c r="B3" s="2" t="s">
        <v>3</v>
      </c>
      <c r="C3" s="2" t="s">
        <v>4</v>
      </c>
      <c r="D3" s="2" t="s">
        <v>5</v>
      </c>
      <c r="E3" s="2" t="s">
        <v>6</v>
      </c>
      <c r="F3" s="3" t="s">
        <v>7</v>
      </c>
    </row>
    <row r="4" spans="1:6" ht="36.950000000000003" customHeight="1" x14ac:dyDescent="0.15">
      <c r="A4" s="2" t="s">
        <v>8</v>
      </c>
      <c r="B4" s="4">
        <v>3333</v>
      </c>
      <c r="C4" s="5"/>
      <c r="D4" s="2">
        <f>C4/B4*100</f>
        <v>0</v>
      </c>
      <c r="E4" s="2"/>
      <c r="F4" s="3"/>
    </row>
    <row r="5" spans="1:6" ht="36.950000000000003" customHeight="1" x14ac:dyDescent="0.15">
      <c r="A5" s="2" t="s">
        <v>9</v>
      </c>
      <c r="B5" s="6">
        <v>2667</v>
      </c>
      <c r="C5" s="7"/>
      <c r="D5" s="2">
        <f t="shared" ref="D5:D11" si="0">C5/B5*100</f>
        <v>0</v>
      </c>
      <c r="E5" s="2"/>
      <c r="F5" s="3"/>
    </row>
    <row r="6" spans="1:6" ht="36.950000000000003" customHeight="1" x14ac:dyDescent="0.15">
      <c r="A6" s="2" t="s">
        <v>10</v>
      </c>
      <c r="B6" s="4">
        <v>0</v>
      </c>
      <c r="C6" s="5"/>
      <c r="D6" s="2">
        <v>0</v>
      </c>
      <c r="E6" s="2"/>
      <c r="F6" s="3"/>
    </row>
    <row r="7" spans="1:6" ht="36.950000000000003" customHeight="1" x14ac:dyDescent="0.15">
      <c r="A7" s="2" t="s">
        <v>11</v>
      </c>
      <c r="B7" s="4">
        <v>0</v>
      </c>
      <c r="C7" s="5"/>
      <c r="D7" s="2">
        <v>0</v>
      </c>
      <c r="E7" s="2"/>
      <c r="F7" s="3"/>
    </row>
    <row r="8" spans="1:6" ht="36.950000000000003" customHeight="1" x14ac:dyDescent="0.15">
      <c r="A8" s="2" t="s">
        <v>12</v>
      </c>
      <c r="B8" s="4">
        <v>0</v>
      </c>
      <c r="C8" s="5"/>
      <c r="D8" s="2">
        <v>0</v>
      </c>
      <c r="E8" s="2"/>
      <c r="F8" s="3"/>
    </row>
    <row r="9" spans="1:6" ht="36.950000000000003" customHeight="1" x14ac:dyDescent="0.15">
      <c r="A9" s="2" t="s">
        <v>13</v>
      </c>
      <c r="B9" s="4">
        <v>666.66666666666663</v>
      </c>
      <c r="C9" s="5"/>
      <c r="D9" s="2">
        <f t="shared" si="0"/>
        <v>0</v>
      </c>
      <c r="E9" s="2"/>
      <c r="F9" s="3"/>
    </row>
    <row r="10" spans="1:6" ht="36.950000000000003" customHeight="1" x14ac:dyDescent="0.15">
      <c r="A10" s="2" t="s">
        <v>14</v>
      </c>
      <c r="B10" s="4">
        <v>0</v>
      </c>
      <c r="C10" s="5"/>
      <c r="D10" s="2">
        <v>0</v>
      </c>
      <c r="E10" s="2"/>
      <c r="F10" s="3"/>
    </row>
    <row r="11" spans="1:6" ht="30.95" customHeight="1" x14ac:dyDescent="0.15">
      <c r="A11" s="8" t="s">
        <v>15</v>
      </c>
      <c r="B11" s="9">
        <f t="shared" ref="B11:F11" si="1">SUM(B4:B10)</f>
        <v>6666.666666666667</v>
      </c>
      <c r="C11" s="9">
        <f t="shared" si="1"/>
        <v>0</v>
      </c>
      <c r="D11" s="2">
        <f t="shared" si="0"/>
        <v>0</v>
      </c>
      <c r="E11" s="8"/>
      <c r="F11" s="9">
        <f t="shared" si="1"/>
        <v>0</v>
      </c>
    </row>
  </sheetData>
  <mergeCells count="3">
    <mergeCell ref="A1:F1"/>
    <mergeCell ref="B2:F2"/>
    <mergeCell ref="A2:A3"/>
  </mergeCells>
  <phoneticPr fontId="1" type="noConversion"/>
  <pageMargins left="0.75" right="0.75" top="1" bottom="1" header="0.51180555555555551" footer="0.51180555555555551"/>
  <pageSetup paperSize="9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SheetLayoutView="100" workbookViewId="0"/>
  </sheetViews>
  <sheetFormatPr defaultColWidth="9" defaultRowHeight="14.25" x14ac:dyDescent="0.15"/>
  <sheetData/>
  <phoneticPr fontId="1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SheetLayoutView="100" workbookViewId="0"/>
  </sheetViews>
  <sheetFormatPr defaultColWidth="9" defaultRowHeight="14.25" x14ac:dyDescent="0.15"/>
  <sheetData/>
  <phoneticPr fontId="1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皓</cp:lastModifiedBy>
  <dcterms:created xsi:type="dcterms:W3CDTF">2023-05-12T11:23:08Z</dcterms:created>
  <dcterms:modified xsi:type="dcterms:W3CDTF">2026-05-02T01:33:26Z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B329D5D80EE4416697EA5E38F1BCD5F7_12</vt:lpwstr>
  </property>
  <property fmtid="{D5CDD505-2E9C-101B-9397-08002B2CF9AE}" pid="4" name="CalculationRule">
    <vt:r8>0</vt:r8>
  </property>
</Properties>
</file>